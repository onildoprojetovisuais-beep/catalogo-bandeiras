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omo ativar" sheetId="3" state="visible" r:id="rId3"/>
  </sheets>
  <definedNames>
    <definedName name="_xlnm._FilterDatabase" localSheetId="0" hidden="1">'Inscrições'!$A$1:$AB$1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AD302"/>
      <sz val="10"/>
    </font>
    <font>
      <name val="Arial"/>
      <b val="1"/>
      <color rgb="000F0F0F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F0F0F"/>
      </patternFill>
    </fill>
    <fill>
      <patternFill patternType="solid">
        <fgColor rgb="00CAD30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4" fillId="4" borderId="1" pivotButton="0" quotePrefix="0" xfId="0"/>
    <xf numFmtId="0" fontId="5" fillId="4" borderId="1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30" customWidth="1" min="4" max="4"/>
    <col width="16" customWidth="1" min="5" max="5"/>
    <col width="30" customWidth="1" min="6" max="6"/>
    <col width="18" customWidth="1" min="7" max="7"/>
    <col width="20" customWidth="1" min="8" max="8"/>
    <col width="6" customWidth="1" min="9" max="9"/>
    <col width="24" customWidth="1" min="10" max="10"/>
    <col width="18" customWidth="1" min="11" max="11"/>
    <col width="15" customWidth="1" min="12" max="12"/>
    <col width="20" customWidth="1" min="13" max="13"/>
    <col width="20" customWidth="1" min="14" max="14"/>
    <col width="20" customWidth="1" min="15" max="15"/>
    <col width="22" customWidth="1" min="16" max="16"/>
    <col width="16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22" customWidth="1" min="25" max="25"/>
    <col width="34" customWidth="1" min="26" max="26"/>
    <col width="16" customWidth="1" min="27" max="27"/>
    <col width="36" customWidth="1" min="28" max="28"/>
  </cols>
  <sheetData>
    <row r="1" ht="34" customHeight="1">
      <c r="A1" s="1" t="inlineStr">
        <is>
          <t>ID da inscrição</t>
        </is>
      </c>
      <c r="B1" s="1" t="inlineStr">
        <is>
          <t>Enviado em (UTC)</t>
        </is>
      </c>
      <c r="C1" s="1" t="inlineStr">
        <is>
          <t>Categoria</t>
        </is>
      </c>
      <c r="D1" s="1" t="inlineStr">
        <is>
          <t>Nome completo</t>
        </is>
      </c>
      <c r="E1" s="1" t="inlineStr">
        <is>
          <t>Data de nascimento</t>
        </is>
      </c>
      <c r="F1" s="1" t="inlineStr">
        <is>
          <t>E-mail</t>
        </is>
      </c>
      <c r="G1" s="1" t="inlineStr">
        <is>
          <t>WhatsApp</t>
        </is>
      </c>
      <c r="H1" s="1" t="inlineStr">
        <is>
          <t>Cidade</t>
        </is>
      </c>
      <c r="I1" s="1" t="inlineStr">
        <is>
          <t>UF</t>
        </is>
      </c>
      <c r="J1" s="1" t="inlineStr">
        <is>
          <t>Nome no iRacing</t>
        </is>
      </c>
      <c r="K1" s="1" t="inlineStr">
        <is>
          <t>iRacing Customer ID</t>
        </is>
      </c>
      <c r="L1" s="1" t="inlineStr">
        <is>
          <t>iRating declarado</t>
        </is>
      </c>
      <c r="M1" s="1" t="inlineStr">
        <is>
          <t>Discord</t>
        </is>
      </c>
      <c r="N1" s="1" t="inlineStr">
        <is>
          <t>Equipe de sim</t>
        </is>
      </c>
      <c r="O1" s="1" t="inlineStr">
        <is>
          <t>Instagram</t>
        </is>
      </c>
      <c r="P1" s="1" t="inlineStr">
        <is>
          <t>Academy: aceita ir p/ 420R</t>
        </is>
      </c>
      <c r="Q1" s="1" t="inlineStr">
        <is>
          <t>Já pilotou no real?</t>
        </is>
      </c>
      <c r="R1" s="1" t="inlineStr">
        <is>
          <t>Experiência no automobilismo real</t>
        </is>
      </c>
      <c r="S1" s="1" t="inlineStr">
        <is>
          <t>Aceita regulamento</t>
        </is>
      </c>
      <c r="T1" s="1" t="inlineStr">
        <is>
          <t>Declara veracidade</t>
        </is>
      </c>
      <c r="U1" s="1" t="inlineStr">
        <is>
          <t>Ciente da classificação</t>
        </is>
      </c>
      <c r="V1" s="1" t="inlineStr">
        <is>
          <t>Ciente do grid</t>
        </is>
      </c>
      <c r="W1" s="1" t="inlineStr">
        <is>
          <t>Consentimento LGPD</t>
        </is>
      </c>
      <c r="X1" s="1" t="inlineStr">
        <is>
          <t>Aceita marketing</t>
        </is>
      </c>
      <c r="Y1" s="1" t="inlineStr">
        <is>
          <t>Origem</t>
        </is>
      </c>
      <c r="Z1" s="1" t="inlineStr">
        <is>
          <t>Campeonato</t>
        </is>
      </c>
      <c r="AA1" s="2" t="inlineStr">
        <is>
          <t>Status</t>
        </is>
      </c>
      <c r="AB1" s="2" t="inlineStr">
        <is>
          <t>Observações internas</t>
        </is>
      </c>
    </row>
  </sheetData>
  <autoFilter ref="A1:AB1"/>
  <dataValidations count="1">
    <dataValidation sqref="AA2:AA2000" showDropDown="0" showInputMessage="0" showErrorMessage="0" allowBlank="1" type="list">
      <formula1>"Nova,Confirmada,Aguardando dados,Lista de espera,Recusada"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3" t="inlineStr">
        <is>
          <t>Scuderia Bandeiras Esports Cup 2026 · Inscrições</t>
        </is>
      </c>
    </row>
    <row r="3">
      <c r="A3" s="4" t="inlineStr">
        <is>
          <t>Total de inscrições</t>
        </is>
      </c>
      <c r="B3" s="5">
        <f>COUNTA('Inscrições'!A2:A2000)</f>
        <v/>
      </c>
    </row>
    <row r="4">
      <c r="A4" s="6" t="inlineStr">
        <is>
          <t>Categoria Academy</t>
        </is>
      </c>
      <c r="B4" s="7">
        <f>COUNTIF('Inscrições'!C2:C2000,"Academy")</f>
        <v/>
      </c>
    </row>
    <row r="5">
      <c r="A5" s="4" t="inlineStr">
        <is>
          <t>Categoria 420R</t>
        </is>
      </c>
      <c r="B5" s="5">
        <f>COUNTIF('Inscrições'!C2:C2000,"420R")</f>
        <v/>
      </c>
    </row>
    <row r="6">
      <c r="A6" s="6" t="inlineStr">
        <is>
          <t>Vagas restantes Academy (de 30)</t>
        </is>
      </c>
      <c r="B6" s="7">
        <f>MAX(0,30-B4)</f>
        <v/>
      </c>
    </row>
    <row r="7">
      <c r="A7" s="4" t="inlineStr">
        <is>
          <t>Vagas restantes 420R (de 30)</t>
        </is>
      </c>
      <c r="B7" s="5">
        <f>MAX(0,30-B5)</f>
        <v/>
      </c>
    </row>
    <row r="8">
      <c r="A8" s="6" t="inlineStr">
        <is>
          <t>Academy que aceitam ir para 420R</t>
        </is>
      </c>
      <c r="B8" s="7">
        <f>COUNTIF('Inscrições'!P2:P2000,"Sim")</f>
        <v/>
      </c>
    </row>
    <row r="9">
      <c r="A9" s="4" t="inlineStr">
        <is>
          <t>Já pilotaram no automobilismo real</t>
        </is>
      </c>
      <c r="B9" s="5">
        <f>COUNTIF('Inscrições'!Q2:Q2000,"Sim")</f>
        <v/>
      </c>
    </row>
    <row r="10">
      <c r="A10" s="6" t="inlineStr">
        <is>
          <t>Aceitam receber marketing</t>
        </is>
      </c>
      <c r="B10" s="7">
        <f>COUNTIF('Inscrições'!X2:X2000,"Sim")</f>
        <v/>
      </c>
    </row>
    <row r="11">
      <c r="A11" s="4" t="inlineStr">
        <is>
          <t>iRating médio declarado</t>
        </is>
      </c>
      <c r="B11" s="5">
        <f>IFERROR(ROUND(AVERAGE('Inscrições'!L2:L2000),0),"-")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COMO LIGAR ESTA PLANILHA AO FORMULÁRIO DO SITE</t>
        </is>
      </c>
    </row>
    <row r="2">
      <c r="A2" s="9" t="inlineStr"/>
    </row>
    <row r="3">
      <c r="A3" s="9" t="inlineStr">
        <is>
          <t>1. Suba este arquivo no Google Drive e abra com o Google Planilhas (Arquivo → Salvar como Planilhas Google).</t>
        </is>
      </c>
    </row>
    <row r="4">
      <c r="A4" s="9" t="inlineStr">
        <is>
          <t>2. Não renomeie a aba "Inscrições" nem mude a ordem das colunas A até Z: o site grava por posição.</t>
        </is>
      </c>
    </row>
    <row r="5">
      <c r="A5" s="9" t="inlineStr">
        <is>
          <t xml:space="preserve">   As colunas Status e Observações internas (depois da Z) são livres para o time usar.</t>
        </is>
      </c>
    </row>
    <row r="6">
      <c r="A6" s="9" t="inlineStr">
        <is>
          <t>3. Na planilha: Extensões → Apps Script. Apague o conteúdo e cole o arquivo</t>
        </is>
      </c>
    </row>
    <row r="7">
      <c r="A7" s="9" t="inlineStr">
        <is>
          <t xml:space="preserve">   doc/campeonato-simulador/apps-script-inscricoes.gs do projeto.</t>
        </is>
      </c>
    </row>
    <row r="8">
      <c r="A8" s="9" t="inlineStr">
        <is>
          <t>4. No script, troque SECRET por um texto aleatório longo (32+ letras e números) e salve.</t>
        </is>
      </c>
    </row>
    <row r="9">
      <c r="A9" s="9" t="inlineStr">
        <is>
          <t>5. Implantar → Nova implantação → App da Web. Executar como: Eu. Quem pode acessar: Qualquer pessoa.</t>
        </is>
      </c>
    </row>
    <row r="10">
      <c r="A10" s="9" t="inlineStr">
        <is>
          <t xml:space="preserve">   Autorize o acesso e copie a URL que termina em /exec.</t>
        </is>
      </c>
    </row>
    <row r="11">
      <c r="A11" s="9" t="inlineStr">
        <is>
          <t>6. Envie a URL /exec e o SECRET para configurar no Vercel:</t>
        </is>
      </c>
    </row>
    <row r="12">
      <c r="A12" s="9" t="inlineStr">
        <is>
          <t xml:space="preserve">   CATERHAM_ESPORTS_WEBHOOK_URL e CATERHAM_ESPORTS_WEBHOOK_SECRET. Depois disso, novo deploy.</t>
        </is>
      </c>
    </row>
    <row r="13">
      <c r="A13" s="9" t="inlineStr"/>
    </row>
    <row r="14">
      <c r="A14" s="8" t="inlineStr">
        <is>
          <t>Observações</t>
        </is>
      </c>
    </row>
    <row r="15">
      <c r="A15" s="9" t="inlineStr">
        <is>
          <t>• "Enviado em" vem em UTC (horário de Brasília = UTC − 3).</t>
        </is>
      </c>
    </row>
    <row r="16">
      <c r="A16" s="9" t="inlineStr">
        <is>
          <t>• Data de nascimento chega no formato AAAA-MM-DD.</t>
        </is>
      </c>
    </row>
    <row r="17">
      <c r="A17" s="9" t="inlineStr">
        <is>
          <t>• Os dados pessoais são protegidos pela LGPD: compartilhe a planilha só com quem organiza o campeonato.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2026-10-15T18:38:53Z</dcterms:created>
  <dcterms:modified xmlns:dcterms="http://purl.org/dc/terms/" xmlns:xsi="http://www.w3.org/2001/XMLSchema-instance" xsi:type="dcterms:W3CDTF">2026-10-15T18:38:53Z</dcterms:modified>
</cp:coreProperties>
</file>